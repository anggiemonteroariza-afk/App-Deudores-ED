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nmorales\Desktop\"/>
    </mc:Choice>
  </mc:AlternateContent>
  <bookViews>
    <workbookView xWindow="0" yWindow="0" windowWidth="24000" windowHeight="960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C43" i="1"/>
  <c r="D43" i="1" s="1"/>
  <c r="C42" i="1"/>
  <c r="D42" i="1" s="1"/>
  <c r="D41" i="1"/>
  <c r="D40" i="1"/>
  <c r="D39" i="1"/>
  <c r="D38" i="1"/>
  <c r="D37" i="1"/>
  <c r="D36" i="1"/>
  <c r="D35" i="1"/>
  <c r="D34" i="1"/>
  <c r="D33" i="1"/>
  <c r="D32" i="1"/>
  <c r="D31" i="1"/>
  <c r="D29" i="1"/>
  <c r="D28" i="1"/>
  <c r="D27" i="1"/>
  <c r="D26" i="1"/>
  <c r="D25" i="1"/>
  <c r="D24" i="1"/>
  <c r="D23" i="1"/>
  <c r="C23" i="1"/>
  <c r="D22" i="1"/>
  <c r="D21" i="1"/>
  <c r="D20" i="1"/>
  <c r="D19" i="1"/>
  <c r="D18" i="1"/>
  <c r="C17" i="1"/>
  <c r="D17" i="1" s="1"/>
  <c r="D16" i="1"/>
  <c r="D15" i="1"/>
  <c r="D13" i="1"/>
  <c r="D12" i="1"/>
  <c r="D10" i="1"/>
  <c r="D9" i="1"/>
  <c r="D8" i="1"/>
  <c r="D7" i="1"/>
  <c r="C5" i="1"/>
  <c r="D4" i="1"/>
</calcChain>
</file>

<file path=xl/sharedStrings.xml><?xml version="1.0" encoding="utf-8"?>
<sst xmlns="http://schemas.openxmlformats.org/spreadsheetml/2006/main" count="40" uniqueCount="39">
  <si>
    <t>CLIENTE</t>
  </si>
  <si>
    <t>FECHA</t>
  </si>
  <si>
    <t>VALOR FACT.</t>
  </si>
  <si>
    <t>TOTAL</t>
  </si>
  <si>
    <t>Mariana</t>
  </si>
  <si>
    <t>La Selecta</t>
  </si>
  <si>
    <t>Novillon San Mateo</t>
  </si>
  <si>
    <t>Pinilla</t>
  </si>
  <si>
    <t xml:space="preserve">Carnilandia </t>
  </si>
  <si>
    <t>Santander</t>
  </si>
  <si>
    <t>Cimarron Dorado</t>
  </si>
  <si>
    <t>Bladimir</t>
  </si>
  <si>
    <t>Paraiso Mosquera</t>
  </si>
  <si>
    <t>Darwin futbol</t>
  </si>
  <si>
    <t>Aliso</t>
  </si>
  <si>
    <t>Nevada</t>
  </si>
  <si>
    <t>Punta de anca</t>
  </si>
  <si>
    <t>David</t>
  </si>
  <si>
    <t>Paraiso Funza</t>
  </si>
  <si>
    <t>Carnivoros</t>
  </si>
  <si>
    <t>Pollo Juliana</t>
  </si>
  <si>
    <t>Carnes Johana</t>
  </si>
  <si>
    <t>Arroz paisa suba</t>
  </si>
  <si>
    <t>Plaza Jesica</t>
  </si>
  <si>
    <t>Jordan</t>
  </si>
  <si>
    <t>Paisanos</t>
  </si>
  <si>
    <t>Multicarnes</t>
  </si>
  <si>
    <t>Santander norte</t>
  </si>
  <si>
    <t>Cocina china</t>
  </si>
  <si>
    <t>Merka fruver alejandro</t>
  </si>
  <si>
    <t>Imperio 2</t>
  </si>
  <si>
    <t>Campo verde Tocancipa</t>
  </si>
  <si>
    <t>Campo verde Zipaquira</t>
  </si>
  <si>
    <t>Camilin</t>
  </si>
  <si>
    <t>Eucalipto</t>
  </si>
  <si>
    <t>La Pampa</t>
  </si>
  <si>
    <t>Fresia</t>
  </si>
  <si>
    <t>Ferrocam</t>
  </si>
  <si>
    <t>Santander Madrid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</si>
</sst>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_-* #,##0_-;\-* #,##0_-;_-* &quot;-&quot;??_-;_-@"/>
  </numFmts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1" xfId="0" applyFont="1" applyFill="1" applyBorder="1"/>
    <xf numFmtId="164" fontId="2" fillId="2" borderId="1" xfId="0" applyNumberFormat="1" applyFont="1" applyFill="1" applyBorder="1"/>
    <xf numFmtId="165" fontId="2" fillId="2" borderId="1" xfId="0" applyNumberFormat="1" applyFont="1" applyFill="1" applyBorder="1"/>
    <xf numFmtId="0" fontId="2" fillId="0" borderId="1" xfId="0" applyFont="1" applyBorder="1"/>
    <xf numFmtId="164" fontId="2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0" fontId="2" fillId="3" borderId="1" xfId="0" applyFont="1" applyFill="1" applyBorder="1"/>
    <xf numFmtId="164" fontId="2" fillId="3" borderId="2" xfId="0" applyNumberFormat="1" applyFont="1" applyFill="1" applyBorder="1" applyAlignment="1">
      <alignment horizontal="right"/>
    </xf>
    <xf numFmtId="165" fontId="2" fillId="3" borderId="2" xfId="0" applyNumberFormat="1" applyFont="1" applyFill="1" applyBorder="1" applyAlignment="1">
      <alignment horizontal="right"/>
    </xf>
    <xf numFmtId="0" fontId="2" fillId="3" borderId="3" xfId="0" applyFont="1" applyFill="1" applyBorder="1"/>
    <xf numFmtId="164" fontId="2" fillId="3" borderId="4" xfId="0" applyNumberFormat="1" applyFont="1" applyFill="1" applyBorder="1" applyAlignment="1">
      <alignment horizontal="right"/>
    </xf>
    <xf numFmtId="165" fontId="2" fillId="3" borderId="4" xfId="0" applyNumberFormat="1" applyFont="1" applyFill="1" applyBorder="1" applyAlignment="1">
      <alignment horizontal="right"/>
    </xf>
    <xf numFmtId="0" fontId="2" fillId="0" borderId="5" xfId="0" applyFont="1" applyBorder="1"/>
    <xf numFmtId="164" fontId="2" fillId="0" borderId="5" xfId="0" applyNumberFormat="1" applyFont="1" applyBorder="1" applyAlignment="1">
      <alignment horizontal="right"/>
    </xf>
    <xf numFmtId="165" fontId="2" fillId="0" borderId="5" xfId="0" applyNumberFormat="1" applyFont="1" applyBorder="1" applyAlignment="1">
      <alignment horizontal="right"/>
    </xf>
    <xf numFmtId="0" fontId="2" fillId="4" borderId="1" xfId="0" applyFont="1" applyFill="1" applyBorder="1"/>
    <xf numFmtId="164" fontId="2" fillId="4" borderId="2" xfId="0" applyNumberFormat="1" applyFont="1" applyFill="1" applyBorder="1" applyAlignment="1">
      <alignment horizontal="right"/>
    </xf>
    <xf numFmtId="165" fontId="2" fillId="4" borderId="2" xfId="0" applyNumberFormat="1" applyFont="1" applyFill="1" applyBorder="1" applyAlignment="1">
      <alignment horizontal="right"/>
    </xf>
    <xf numFmtId="0" fontId="3" fillId="0" borderId="5" xfId="0" applyFont="1" applyBorder="1"/>
    <xf numFmtId="0" fontId="2" fillId="3" borderId="5" xfId="0" applyFont="1" applyFill="1" applyBorder="1"/>
    <xf numFmtId="164" fontId="2" fillId="3" borderId="5" xfId="0" applyNumberFormat="1" applyFont="1" applyFill="1" applyBorder="1" applyAlignment="1">
      <alignment horizontal="right"/>
    </xf>
    <xf numFmtId="165" fontId="2" fillId="3" borderId="5" xfId="0" applyNumberFormat="1" applyFont="1" applyFill="1" applyBorder="1" applyAlignment="1">
      <alignment horizontal="right"/>
    </xf>
    <xf numFmtId="0" fontId="2" fillId="0" borderId="0" xfId="0" applyFont="1" applyBorder="1"/>
    <xf numFmtId="0" fontId="4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8" xfId="0" applyFont="1" applyBorder="1" applyAlignment="1">
      <alignment horizontal="right"/>
    </xf>
    <xf numFmtId="165" fontId="2" fillId="0" borderId="9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"/>
  <sheetViews>
    <sheetView tabSelected="1" topLeftCell="A4" workbookViewId="0">
      <selection activeCell="D51" sqref="D51"/>
    </sheetView>
  </sheetViews>
  <sheetFormatPr baseColWidth="10" defaultRowHeight="15" x14ac:dyDescent="0.25"/>
  <cols>
    <col min="1" max="1" width="20.85546875" bestFit="1" customWidth="1"/>
    <col min="3" max="3" width="13.425781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45650</v>
      </c>
      <c r="C2" s="4">
        <v>171900</v>
      </c>
      <c r="D2" s="4"/>
    </row>
    <row r="3" spans="1:4" x14ac:dyDescent="0.25">
      <c r="A3" s="5" t="s">
        <v>5</v>
      </c>
      <c r="B3" s="6">
        <v>45912</v>
      </c>
      <c r="C3" s="7">
        <v>82000</v>
      </c>
      <c r="D3" s="8">
        <v>82000</v>
      </c>
    </row>
    <row r="4" spans="1:4" x14ac:dyDescent="0.25">
      <c r="A4" s="5" t="s">
        <v>6</v>
      </c>
      <c r="B4" s="6">
        <v>45971</v>
      </c>
      <c r="C4" s="7">
        <v>83000</v>
      </c>
      <c r="D4" s="7">
        <f>+C4</f>
        <v>83000</v>
      </c>
    </row>
    <row r="5" spans="1:4" x14ac:dyDescent="0.25">
      <c r="A5" s="5" t="s">
        <v>7</v>
      </c>
      <c r="B5" s="6">
        <v>45924</v>
      </c>
      <c r="C5" s="7">
        <f>166000-150000</f>
        <v>16000</v>
      </c>
      <c r="D5" s="7"/>
    </row>
    <row r="6" spans="1:4" x14ac:dyDescent="0.25">
      <c r="A6" s="5"/>
      <c r="B6" s="6">
        <v>45931</v>
      </c>
      <c r="C6" s="7">
        <v>166000</v>
      </c>
      <c r="D6" s="7"/>
    </row>
    <row r="7" spans="1:4" x14ac:dyDescent="0.25">
      <c r="A7" s="5"/>
      <c r="B7" s="6">
        <v>45980</v>
      </c>
      <c r="C7" s="7">
        <v>3000</v>
      </c>
      <c r="D7" s="7">
        <f>SUM(C5:C7)</f>
        <v>185000</v>
      </c>
    </row>
    <row r="8" spans="1:4" x14ac:dyDescent="0.25">
      <c r="A8" s="5" t="s">
        <v>8</v>
      </c>
      <c r="B8" s="6">
        <v>45983</v>
      </c>
      <c r="C8" s="7">
        <v>200000</v>
      </c>
      <c r="D8" s="7">
        <f t="shared" ref="D8:D13" si="0">+C8</f>
        <v>200000</v>
      </c>
    </row>
    <row r="9" spans="1:4" x14ac:dyDescent="0.25">
      <c r="A9" s="9" t="s">
        <v>9</v>
      </c>
      <c r="B9" s="10">
        <v>45944</v>
      </c>
      <c r="C9" s="11">
        <v>46200</v>
      </c>
      <c r="D9" s="11">
        <f t="shared" si="0"/>
        <v>46200</v>
      </c>
    </row>
    <row r="10" spans="1:4" x14ac:dyDescent="0.25">
      <c r="A10" s="12"/>
      <c r="B10" s="13">
        <v>45948</v>
      </c>
      <c r="C10" s="14">
        <v>213000</v>
      </c>
      <c r="D10" s="14">
        <f t="shared" si="0"/>
        <v>213000</v>
      </c>
    </row>
    <row r="11" spans="1:4" x14ac:dyDescent="0.25">
      <c r="A11" s="5"/>
      <c r="B11" s="6">
        <v>45979</v>
      </c>
      <c r="C11" s="7">
        <v>82000</v>
      </c>
      <c r="D11" s="7"/>
    </row>
    <row r="12" spans="1:4" x14ac:dyDescent="0.25">
      <c r="A12" s="5"/>
      <c r="B12" s="6">
        <v>45983</v>
      </c>
      <c r="C12" s="7">
        <v>357000</v>
      </c>
      <c r="D12" s="7">
        <f>+C12+C11</f>
        <v>439000</v>
      </c>
    </row>
    <row r="13" spans="1:4" x14ac:dyDescent="0.25">
      <c r="A13" s="15" t="s">
        <v>10</v>
      </c>
      <c r="B13" s="16">
        <v>45985</v>
      </c>
      <c r="C13" s="17">
        <v>464700</v>
      </c>
      <c r="D13" s="17">
        <f t="shared" si="0"/>
        <v>464700</v>
      </c>
    </row>
    <row r="14" spans="1:4" x14ac:dyDescent="0.25">
      <c r="A14" s="15" t="s">
        <v>11</v>
      </c>
      <c r="B14" s="16">
        <v>45955</v>
      </c>
      <c r="C14" s="17">
        <v>82000</v>
      </c>
      <c r="D14" s="17">
        <v>82000</v>
      </c>
    </row>
    <row r="15" spans="1:4" x14ac:dyDescent="0.25">
      <c r="A15" s="15" t="s">
        <v>12</v>
      </c>
      <c r="B15" s="16">
        <v>45985</v>
      </c>
      <c r="C15" s="17">
        <v>515700</v>
      </c>
      <c r="D15" s="17">
        <f>+C15</f>
        <v>515700</v>
      </c>
    </row>
    <row r="16" spans="1:4" x14ac:dyDescent="0.25">
      <c r="A16" s="15" t="s">
        <v>13</v>
      </c>
      <c r="B16" s="16">
        <v>45921</v>
      </c>
      <c r="C16" s="17">
        <v>200000</v>
      </c>
      <c r="D16" s="17">
        <f t="shared" ref="D16:D18" si="1">+C16</f>
        <v>200000</v>
      </c>
    </row>
    <row r="17" spans="1:4" x14ac:dyDescent="0.25">
      <c r="A17" s="18" t="s">
        <v>14</v>
      </c>
      <c r="B17" s="19">
        <v>45976</v>
      </c>
      <c r="C17" s="20">
        <f>199000-100000</f>
        <v>99000</v>
      </c>
      <c r="D17" s="20">
        <f t="shared" si="1"/>
        <v>99000</v>
      </c>
    </row>
    <row r="18" spans="1:4" x14ac:dyDescent="0.25">
      <c r="A18" s="15" t="s">
        <v>15</v>
      </c>
      <c r="B18" s="16">
        <v>45985</v>
      </c>
      <c r="C18" s="17">
        <v>117000</v>
      </c>
      <c r="D18" s="17">
        <f t="shared" si="1"/>
        <v>117000</v>
      </c>
    </row>
    <row r="19" spans="1:4" x14ac:dyDescent="0.25">
      <c r="A19" s="15" t="s">
        <v>16</v>
      </c>
      <c r="B19" s="16">
        <v>45985</v>
      </c>
      <c r="C19" s="17">
        <v>60000</v>
      </c>
      <c r="D19" s="17">
        <f>+C19</f>
        <v>60000</v>
      </c>
    </row>
    <row r="20" spans="1:4" x14ac:dyDescent="0.25">
      <c r="A20" s="21" t="s">
        <v>17</v>
      </c>
      <c r="B20" s="16">
        <v>45947</v>
      </c>
      <c r="C20" s="17">
        <v>100000</v>
      </c>
      <c r="D20" s="17">
        <f t="shared" ref="D20" si="2">+C20</f>
        <v>100000</v>
      </c>
    </row>
    <row r="21" spans="1:4" x14ac:dyDescent="0.25">
      <c r="A21" s="21" t="s">
        <v>18</v>
      </c>
      <c r="B21" s="16">
        <v>45983</v>
      </c>
      <c r="C21" s="17">
        <v>250000</v>
      </c>
      <c r="D21" s="17">
        <f>+C21</f>
        <v>250000</v>
      </c>
    </row>
    <row r="22" spans="1:4" x14ac:dyDescent="0.25">
      <c r="A22" s="21" t="s">
        <v>19</v>
      </c>
      <c r="B22" s="16">
        <v>45959</v>
      </c>
      <c r="C22" s="17">
        <v>537000</v>
      </c>
      <c r="D22" s="17">
        <f t="shared" ref="D22:D29" si="3">+C22</f>
        <v>537000</v>
      </c>
    </row>
    <row r="23" spans="1:4" x14ac:dyDescent="0.25">
      <c r="A23" s="15" t="s">
        <v>20</v>
      </c>
      <c r="B23" s="16">
        <v>45968</v>
      </c>
      <c r="C23" s="17">
        <f>380000-116000-134000</f>
        <v>130000</v>
      </c>
      <c r="D23" s="17">
        <f t="shared" si="3"/>
        <v>130000</v>
      </c>
    </row>
    <row r="24" spans="1:4" x14ac:dyDescent="0.25">
      <c r="A24" s="22" t="s">
        <v>21</v>
      </c>
      <c r="B24" s="23">
        <v>45967</v>
      </c>
      <c r="C24" s="24">
        <v>180000</v>
      </c>
      <c r="D24" s="24">
        <f t="shared" si="3"/>
        <v>180000</v>
      </c>
    </row>
    <row r="25" spans="1:4" x14ac:dyDescent="0.25">
      <c r="A25" s="22"/>
      <c r="B25" s="23">
        <v>45968</v>
      </c>
      <c r="C25" s="24">
        <v>82000</v>
      </c>
      <c r="D25" s="24">
        <f t="shared" si="3"/>
        <v>82000</v>
      </c>
    </row>
    <row r="26" spans="1:4" x14ac:dyDescent="0.25">
      <c r="A26" s="15"/>
      <c r="B26" s="16">
        <v>45978</v>
      </c>
      <c r="C26" s="17">
        <v>184600</v>
      </c>
      <c r="D26" s="17">
        <f t="shared" si="3"/>
        <v>184600</v>
      </c>
    </row>
    <row r="27" spans="1:4" x14ac:dyDescent="0.25">
      <c r="A27" s="15"/>
      <c r="B27" s="16">
        <v>45983</v>
      </c>
      <c r="C27" s="17">
        <v>103500</v>
      </c>
      <c r="D27" s="17">
        <f t="shared" si="3"/>
        <v>103500</v>
      </c>
    </row>
    <row r="28" spans="1:4" x14ac:dyDescent="0.25">
      <c r="A28" s="15" t="s">
        <v>22</v>
      </c>
      <c r="B28" s="16">
        <v>45966</v>
      </c>
      <c r="C28" s="17">
        <v>166000</v>
      </c>
      <c r="D28" s="17">
        <f t="shared" si="3"/>
        <v>166000</v>
      </c>
    </row>
    <row r="29" spans="1:4" x14ac:dyDescent="0.25">
      <c r="A29" s="15"/>
      <c r="B29" s="16">
        <v>45980</v>
      </c>
      <c r="C29" s="17">
        <v>166000</v>
      </c>
      <c r="D29" s="17">
        <f t="shared" si="3"/>
        <v>166000</v>
      </c>
    </row>
    <row r="30" spans="1:4" x14ac:dyDescent="0.25">
      <c r="A30" s="15" t="s">
        <v>23</v>
      </c>
      <c r="B30" s="16">
        <v>45978</v>
      </c>
      <c r="C30" s="17">
        <v>761600</v>
      </c>
      <c r="D30" s="17"/>
    </row>
    <row r="31" spans="1:4" x14ac:dyDescent="0.25">
      <c r="A31" s="15"/>
      <c r="B31" s="16">
        <v>45983</v>
      </c>
      <c r="C31" s="17">
        <v>899000</v>
      </c>
      <c r="D31" s="17">
        <f>+C30+C31</f>
        <v>1660600</v>
      </c>
    </row>
    <row r="32" spans="1:4" x14ac:dyDescent="0.25">
      <c r="A32" s="15" t="s">
        <v>24</v>
      </c>
      <c r="B32" s="16">
        <v>45969</v>
      </c>
      <c r="C32" s="17">
        <v>785000</v>
      </c>
      <c r="D32" s="17">
        <f t="shared" ref="D32:D49" si="4">+C32</f>
        <v>785000</v>
      </c>
    </row>
    <row r="33" spans="1:4" x14ac:dyDescent="0.25">
      <c r="A33" s="15" t="s">
        <v>25</v>
      </c>
      <c r="B33" s="16">
        <v>45981</v>
      </c>
      <c r="C33" s="17">
        <v>457200</v>
      </c>
      <c r="D33" s="17">
        <f t="shared" si="4"/>
        <v>457200</v>
      </c>
    </row>
    <row r="34" spans="1:4" x14ac:dyDescent="0.25">
      <c r="A34" s="15" t="s">
        <v>26</v>
      </c>
      <c r="B34" s="16">
        <v>45973</v>
      </c>
      <c r="C34" s="17">
        <v>799700</v>
      </c>
      <c r="D34" s="17">
        <f t="shared" si="4"/>
        <v>799700</v>
      </c>
    </row>
    <row r="35" spans="1:4" x14ac:dyDescent="0.25">
      <c r="A35" s="15"/>
      <c r="B35" s="16">
        <v>45981</v>
      </c>
      <c r="C35" s="17">
        <v>688400</v>
      </c>
      <c r="D35" s="17">
        <f t="shared" si="4"/>
        <v>688400</v>
      </c>
    </row>
    <row r="36" spans="1:4" x14ac:dyDescent="0.25">
      <c r="A36" s="15" t="s">
        <v>27</v>
      </c>
      <c r="B36" s="16">
        <v>45973</v>
      </c>
      <c r="C36" s="17">
        <v>216400</v>
      </c>
      <c r="D36" s="17">
        <f t="shared" si="4"/>
        <v>216400</v>
      </c>
    </row>
    <row r="37" spans="1:4" x14ac:dyDescent="0.25">
      <c r="A37" s="15" t="s">
        <v>28</v>
      </c>
      <c r="B37" s="16">
        <v>45973</v>
      </c>
      <c r="C37" s="17">
        <v>170000</v>
      </c>
      <c r="D37" s="17">
        <f t="shared" si="4"/>
        <v>170000</v>
      </c>
    </row>
    <row r="38" spans="1:4" x14ac:dyDescent="0.25">
      <c r="A38" s="15"/>
      <c r="B38" s="16">
        <v>45976</v>
      </c>
      <c r="C38" s="17">
        <v>255000</v>
      </c>
      <c r="D38" s="17">
        <f t="shared" si="4"/>
        <v>255000</v>
      </c>
    </row>
    <row r="39" spans="1:4" x14ac:dyDescent="0.25">
      <c r="A39" s="15"/>
      <c r="B39" s="16">
        <v>45676</v>
      </c>
      <c r="C39" s="17">
        <v>170000</v>
      </c>
      <c r="D39" s="17">
        <f t="shared" si="4"/>
        <v>170000</v>
      </c>
    </row>
    <row r="40" spans="1:4" x14ac:dyDescent="0.25">
      <c r="A40" s="15" t="s">
        <v>29</v>
      </c>
      <c r="B40" s="16">
        <v>45981</v>
      </c>
      <c r="C40" s="17">
        <v>326200</v>
      </c>
      <c r="D40" s="17">
        <f t="shared" si="4"/>
        <v>326200</v>
      </c>
    </row>
    <row r="41" spans="1:4" x14ac:dyDescent="0.25">
      <c r="A41" s="15" t="s">
        <v>30</v>
      </c>
      <c r="B41" s="16">
        <v>45976</v>
      </c>
      <c r="C41" s="17">
        <v>332000</v>
      </c>
      <c r="D41" s="17">
        <f t="shared" si="4"/>
        <v>332000</v>
      </c>
    </row>
    <row r="42" spans="1:4" x14ac:dyDescent="0.25">
      <c r="A42" s="25" t="s">
        <v>31</v>
      </c>
      <c r="B42" s="16">
        <v>45981</v>
      </c>
      <c r="C42" s="17">
        <f>455000-296000</f>
        <v>159000</v>
      </c>
      <c r="D42" s="17">
        <f t="shared" si="4"/>
        <v>159000</v>
      </c>
    </row>
    <row r="43" spans="1:4" x14ac:dyDescent="0.25">
      <c r="A43" s="15" t="s">
        <v>32</v>
      </c>
      <c r="B43" s="16">
        <v>45981</v>
      </c>
      <c r="C43" s="17">
        <f>825000-750000</f>
        <v>75000</v>
      </c>
      <c r="D43" s="17">
        <f t="shared" si="4"/>
        <v>75000</v>
      </c>
    </row>
    <row r="44" spans="1:4" x14ac:dyDescent="0.25">
      <c r="A44" s="15" t="s">
        <v>33</v>
      </c>
      <c r="B44" s="16">
        <v>45983</v>
      </c>
      <c r="C44" s="17">
        <v>180000</v>
      </c>
      <c r="D44" s="17">
        <f t="shared" si="4"/>
        <v>180000</v>
      </c>
    </row>
    <row r="45" spans="1:4" x14ac:dyDescent="0.25">
      <c r="A45" s="15" t="s">
        <v>34</v>
      </c>
      <c r="B45" s="16">
        <v>45983</v>
      </c>
      <c r="C45" s="17">
        <v>82000</v>
      </c>
      <c r="D45" s="17">
        <f t="shared" si="4"/>
        <v>82000</v>
      </c>
    </row>
    <row r="46" spans="1:4" x14ac:dyDescent="0.25">
      <c r="A46" s="15" t="s">
        <v>35</v>
      </c>
      <c r="B46" s="16">
        <v>45983</v>
      </c>
      <c r="C46" s="17">
        <v>232400</v>
      </c>
      <c r="D46" s="17">
        <f t="shared" si="4"/>
        <v>232400</v>
      </c>
    </row>
    <row r="47" spans="1:4" x14ac:dyDescent="0.25">
      <c r="A47" s="15" t="s">
        <v>36</v>
      </c>
      <c r="B47" s="16">
        <v>45986</v>
      </c>
      <c r="C47" s="17">
        <v>154000</v>
      </c>
      <c r="D47" s="17">
        <f t="shared" si="4"/>
        <v>154000</v>
      </c>
    </row>
    <row r="48" spans="1:4" x14ac:dyDescent="0.25">
      <c r="A48" s="15" t="s">
        <v>37</v>
      </c>
      <c r="B48" s="16">
        <v>45986</v>
      </c>
      <c r="C48" s="17">
        <v>366200</v>
      </c>
      <c r="D48" s="17">
        <f t="shared" si="4"/>
        <v>366200</v>
      </c>
    </row>
    <row r="49" spans="1:4" x14ac:dyDescent="0.25">
      <c r="A49" s="15" t="s">
        <v>38</v>
      </c>
      <c r="B49" s="16">
        <v>45983</v>
      </c>
      <c r="C49" s="17">
        <v>164000</v>
      </c>
      <c r="D49" s="17">
        <f t="shared" si="4"/>
        <v>164000</v>
      </c>
    </row>
    <row r="50" spans="1:4" x14ac:dyDescent="0.25">
      <c r="A50" s="26" t="s">
        <v>3</v>
      </c>
      <c r="B50" s="27"/>
      <c r="C50" s="28"/>
      <c r="D50" s="29">
        <f>SUM(D2:D49)</f>
        <v>11958800</v>
      </c>
    </row>
  </sheetData>
  <mergeCells count="1">
    <mergeCell ref="A50:C5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Anggie Montero</dc:creator>
  <cp:lastModifiedBy>Anggie Montero</cp:lastModifiedBy>
  <dcterms:created xsi:type="dcterms:W3CDTF">2025-11-25T20:19:03Z</dcterms:created>
  <dcterms:modified xsi:type="dcterms:W3CDTF">2025-11-25T20:19:35Z</dcterms:modified>
</cp:coreProperties>
</file>